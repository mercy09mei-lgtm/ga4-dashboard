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vclabs\Downloads\csv-to-xlsx\"/>
    </mc:Choice>
  </mc:AlternateContent>
  <bookViews>
    <workbookView windowWidth="27945" windowHeight="1167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<sst xmlns="http://schemas.openxmlformats.org/spreadsheetml/2006/main" count="145" uniqueCount="61">
  <si>
    <t>下载</t>
  </si>
  <si>
    <t>spotify win</t>
  </si>
  <si>
    <t>spotify mac</t>
  </si>
  <si>
    <t>spotify安卓</t>
  </si>
  <si>
    <t>SD Free</t>
  </si>
  <si>
    <t>musicOne win</t>
  </si>
  <si>
    <t>musicOne mac</t>
  </si>
  <si>
    <t>amazC win</t>
  </si>
  <si>
    <t>amazC  mac</t>
  </si>
  <si>
    <t>Tidal win</t>
  </si>
  <si>
    <t>Tidal mac</t>
  </si>
  <si>
    <t>Apple win</t>
  </si>
  <si>
    <t>Apple mac</t>
  </si>
  <si>
    <t>YouTube win</t>
  </si>
  <si>
    <t>YouTube mac</t>
  </si>
  <si>
    <t>Deezer win</t>
  </si>
  <si>
    <t>Deezer mac</t>
  </si>
  <si>
    <t>总计</t>
  </si>
  <si>
    <t>7月</t>
  </si>
  <si>
    <t>6月</t>
  </si>
  <si>
    <t>差额</t>
  </si>
  <si>
    <t>环比</t>
  </si>
  <si>
    <t>购买 lifetime</t>
  </si>
  <si>
    <t>12M</t>
  </si>
  <si>
    <t>3M</t>
  </si>
  <si>
    <t>1M</t>
  </si>
  <si>
    <t>本周期流量</t>
  </si>
  <si>
    <t>上一周期流量</t>
  </si>
  <si>
    <t>本周期的日均流量</t>
  </si>
  <si>
    <t>日均流量差额</t>
  </si>
  <si>
    <t>自然+引荐流量</t>
  </si>
  <si>
    <t>上周期的日均流量</t>
  </si>
  <si>
    <t>总流量</t>
  </si>
  <si>
    <t>Direct</t>
  </si>
  <si>
    <t>Organic Search</t>
  </si>
  <si>
    <t>Referral</t>
  </si>
  <si>
    <t>Organic Video</t>
  </si>
  <si>
    <t>AI Assistant</t>
  </si>
  <si>
    <t>Unassigned</t>
  </si>
  <si>
    <t>Organic Social</t>
  </si>
  <si>
    <t>指标</t>
  </si>
  <si>
    <t>10.18-10.24</t>
  </si>
  <si>
    <t>10.11-10.17</t>
  </si>
  <si>
    <t>状态</t>
  </si>
  <si>
    <t>1,295</t>
  </si>
  <si>
    <t>1,345</t>
  </si>
  <si>
    <t>-3.72%</t>
  </si>
  <si>
    <t>下降</t>
  </si>
  <si>
    <t>下载量</t>
  </si>
  <si>
    <t>+5.83%</t>
  </si>
  <si>
    <t>上涨</t>
  </si>
  <si>
    <t>购买事件数</t>
  </si>
  <si>
    <t>-19.33%</t>
  </si>
  <si>
    <t>下载转化率</t>
  </si>
  <si>
    <t>18.22%</t>
  </si>
  <si>
    <t>16.58%</t>
  </si>
  <si>
    <t>+1.64%</t>
  </si>
  <si>
    <t>购买转化率</t>
  </si>
  <si>
    <t>40.68%</t>
  </si>
  <si>
    <t>53.36%</t>
  </si>
  <si>
    <t>-12.69%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</si>
</sst>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26" formatCode="General"/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  <numFmt numFmtId="180" formatCode="0_ "/>
    <numFmt numFmtId="181" formatCode="#,000_);[Red]\(#,000\)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sz val="11"/>
      <color theme="1"/>
      <name val="宋体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26" fontId="5" fillId="0" borderId="0" applyNumberFormat="0" applyFill="0" applyBorder="0" applyAlignment="0" applyProtection="0">
      <alignment vertical="center"/>
    </xf>
    <xf numFmtId="26" fontId="6" fillId="0" borderId="0" applyNumberFormat="0" applyFill="0" applyBorder="0" applyAlignment="0" applyProtection="0">
      <alignment vertical="center"/>
    </xf>
    <xf numFmtId="26" fontId="0" fillId="6" borderId="11" applyNumberFormat="0" applyFont="0" applyAlignment="0" applyProtection="0">
      <alignment vertical="center"/>
    </xf>
    <xf numFmtId="26" fontId="7" fillId="0" borderId="0" applyNumberFormat="0" applyFill="0" applyBorder="0" applyAlignment="0" applyProtection="0">
      <alignment vertical="center"/>
    </xf>
    <xf numFmtId="26" fontId="8" fillId="0" borderId="0" applyNumberFormat="0" applyFill="0" applyBorder="0" applyAlignment="0" applyProtection="0">
      <alignment vertical="center"/>
    </xf>
    <xf numFmtId="26" fontId="9" fillId="0" borderId="0" applyNumberFormat="0" applyFill="0" applyBorder="0" applyAlignment="0" applyProtection="0">
      <alignment vertical="center"/>
    </xf>
    <xf numFmtId="26" fontId="10" fillId="0" borderId="12" applyNumberFormat="0" applyFill="0" applyAlignment="0" applyProtection="0">
      <alignment vertical="center"/>
    </xf>
    <xf numFmtId="26" fontId="11" fillId="0" borderId="12" applyNumberFormat="0" applyFill="0" applyAlignment="0" applyProtection="0">
      <alignment vertical="center"/>
    </xf>
    <xf numFmtId="26" fontId="12" fillId="0" borderId="13" applyNumberFormat="0" applyFill="0" applyAlignment="0" applyProtection="0">
      <alignment vertical="center"/>
    </xf>
    <xf numFmtId="26" fontId="12" fillId="0" borderId="0" applyNumberFormat="0" applyFill="0" applyBorder="0" applyAlignment="0" applyProtection="0">
      <alignment vertical="center"/>
    </xf>
    <xf numFmtId="26" fontId="13" fillId="7" borderId="14" applyNumberFormat="0" applyAlignment="0" applyProtection="0">
      <alignment vertical="center"/>
    </xf>
    <xf numFmtId="26" fontId="14" fillId="8" borderId="15" applyNumberFormat="0" applyAlignment="0" applyProtection="0">
      <alignment vertical="center"/>
    </xf>
    <xf numFmtId="26" fontId="15" fillId="8" borderId="14" applyNumberFormat="0" applyAlignment="0" applyProtection="0">
      <alignment vertical="center"/>
    </xf>
    <xf numFmtId="26" fontId="16" fillId="9" borderId="16" applyNumberFormat="0" applyAlignment="0" applyProtection="0">
      <alignment vertical="center"/>
    </xf>
    <xf numFmtId="26" fontId="17" fillId="0" borderId="17" applyNumberFormat="0" applyFill="0" applyAlignment="0" applyProtection="0">
      <alignment vertical="center"/>
    </xf>
    <xf numFmtId="26" fontId="18" fillId="0" borderId="18" applyNumberFormat="0" applyFill="0" applyAlignment="0" applyProtection="0">
      <alignment vertical="center"/>
    </xf>
    <xf numFmtId="26" fontId="19" fillId="10" borderId="0" applyNumberFormat="0" applyBorder="0" applyAlignment="0" applyProtection="0">
      <alignment vertical="center"/>
    </xf>
    <xf numFmtId="26" fontId="20" fillId="11" borderId="0" applyNumberFormat="0" applyBorder="0" applyAlignment="0" applyProtection="0">
      <alignment vertical="center"/>
    </xf>
    <xf numFmtId="26" fontId="21" fillId="12" borderId="0" applyNumberFormat="0" applyBorder="0" applyAlignment="0" applyProtection="0">
      <alignment vertical="center"/>
    </xf>
    <xf numFmtId="26" fontId="22" fillId="13" borderId="0" applyNumberFormat="0" applyBorder="0" applyAlignment="0" applyProtection="0">
      <alignment vertical="center"/>
    </xf>
    <xf numFmtId="26" fontId="23" fillId="14" borderId="0" applyNumberFormat="0" applyBorder="0" applyAlignment="0" applyProtection="0">
      <alignment vertical="center"/>
    </xf>
    <xf numFmtId="26" fontId="23" fillId="15" borderId="0" applyNumberFormat="0" applyBorder="0" applyAlignment="0" applyProtection="0">
      <alignment vertical="center"/>
    </xf>
    <xf numFmtId="26" fontId="22" fillId="16" borderId="0" applyNumberFormat="0" applyBorder="0" applyAlignment="0" applyProtection="0">
      <alignment vertical="center"/>
    </xf>
    <xf numFmtId="26" fontId="22" fillId="17" borderId="0" applyNumberFormat="0" applyBorder="0" applyAlignment="0" applyProtection="0">
      <alignment vertical="center"/>
    </xf>
    <xf numFmtId="26" fontId="23" fillId="18" borderId="0" applyNumberFormat="0" applyBorder="0" applyAlignment="0" applyProtection="0">
      <alignment vertical="center"/>
    </xf>
    <xf numFmtId="26" fontId="23" fillId="19" borderId="0" applyNumberFormat="0" applyBorder="0" applyAlignment="0" applyProtection="0">
      <alignment vertical="center"/>
    </xf>
    <xf numFmtId="26" fontId="22" fillId="20" borderId="0" applyNumberFormat="0" applyBorder="0" applyAlignment="0" applyProtection="0">
      <alignment vertical="center"/>
    </xf>
    <xf numFmtId="26" fontId="22" fillId="21" borderId="0" applyNumberFormat="0" applyBorder="0" applyAlignment="0" applyProtection="0">
      <alignment vertical="center"/>
    </xf>
    <xf numFmtId="26" fontId="23" fillId="22" borderId="0" applyNumberFormat="0" applyBorder="0" applyAlignment="0" applyProtection="0">
      <alignment vertical="center"/>
    </xf>
    <xf numFmtId="26" fontId="23" fillId="23" borderId="0" applyNumberFormat="0" applyBorder="0" applyAlignment="0" applyProtection="0">
      <alignment vertical="center"/>
    </xf>
    <xf numFmtId="26" fontId="22" fillId="24" borderId="0" applyNumberFormat="0" applyBorder="0" applyAlignment="0" applyProtection="0">
      <alignment vertical="center"/>
    </xf>
    <xf numFmtId="26" fontId="22" fillId="2" borderId="0" applyNumberFormat="0" applyBorder="0" applyAlignment="0" applyProtection="0">
      <alignment vertical="center"/>
    </xf>
    <xf numFmtId="26" fontId="23" fillId="25" borderId="0" applyNumberFormat="0" applyBorder="0" applyAlignment="0" applyProtection="0">
      <alignment vertical="center"/>
    </xf>
    <xf numFmtId="26" fontId="23" fillId="26" borderId="0" applyNumberFormat="0" applyBorder="0" applyAlignment="0" applyProtection="0">
      <alignment vertical="center"/>
    </xf>
    <xf numFmtId="26" fontId="22" fillId="27" borderId="0" applyNumberFormat="0" applyBorder="0" applyAlignment="0" applyProtection="0">
      <alignment vertical="center"/>
    </xf>
    <xf numFmtId="26" fontId="22" fillId="28" borderId="0" applyNumberFormat="0" applyBorder="0" applyAlignment="0" applyProtection="0">
      <alignment vertical="center"/>
    </xf>
    <xf numFmtId="26" fontId="23" fillId="29" borderId="0" applyNumberFormat="0" applyBorder="0" applyAlignment="0" applyProtection="0">
      <alignment vertical="center"/>
    </xf>
    <xf numFmtId="26" fontId="23" fillId="30" borderId="0" applyNumberFormat="0" applyBorder="0" applyAlignment="0" applyProtection="0">
      <alignment vertical="center"/>
    </xf>
    <xf numFmtId="26" fontId="22" fillId="31" borderId="0" applyNumberFormat="0" applyBorder="0" applyAlignment="0" applyProtection="0">
      <alignment vertical="center"/>
    </xf>
    <xf numFmtId="26" fontId="22" fillId="32" borderId="0" applyNumberFormat="0" applyBorder="0" applyAlignment="0" applyProtection="0">
      <alignment vertical="center"/>
    </xf>
    <xf numFmtId="26" fontId="23" fillId="33" borderId="0" applyNumberFormat="0" applyBorder="0" applyAlignment="0" applyProtection="0">
      <alignment vertical="center"/>
    </xf>
    <xf numFmtId="26" fontId="23" fillId="34" borderId="0" applyNumberFormat="0" applyBorder="0" applyAlignment="0" applyProtection="0">
      <alignment vertical="center"/>
    </xf>
    <xf numFmtId="26" fontId="22" fillId="35" borderId="0" applyNumberFormat="0" applyBorder="0" applyAlignment="0" applyProtection="0">
      <alignment vertical="center"/>
    </xf>
  </cellStyleXfs>
  <cellXfs count="32">
    <xf numFmtId="26" fontId="0" fillId="0" borderId="0" xfId="0" applyAlignment="1">
      <alignment vertical="center"/>
    </xf>
    <xf numFmtId="26" fontId="1" fillId="2" borderId="1" xfId="0" applyFont="1" applyFill="1" applyBorder="1" applyAlignment="1">
      <alignment vertical="center" wrapText="1"/>
    </xf>
    <xf numFmtId="26" fontId="1" fillId="2" borderId="2" xfId="0" applyFont="1" applyFill="1" applyBorder="1" applyAlignment="1">
      <alignment vertical="center" wrapText="1"/>
    </xf>
    <xf numFmtId="26" fontId="1" fillId="2" borderId="3" xfId="0" applyFont="1" applyFill="1" applyBorder="1" applyAlignment="1">
      <alignment vertical="center" wrapText="1"/>
    </xf>
    <xf numFmtId="26" fontId="1" fillId="3" borderId="4" xfId="0" applyFont="1" applyFill="1" applyBorder="1" applyAlignment="1">
      <alignment vertical="center"/>
    </xf>
    <xf numFmtId="26" fontId="2" fillId="0" borderId="0" xfId="0" applyFont="1" applyAlignment="1">
      <alignment vertical="center"/>
    </xf>
    <xf numFmtId="26" fontId="2" fillId="0" borderId="5" xfId="0" applyFont="1" applyBorder="1" applyAlignment="1">
      <alignment vertical="center"/>
    </xf>
    <xf numFmtId="26" fontId="1" fillId="0" borderId="4" xfId="0" applyFont="1" applyBorder="1" applyAlignment="1">
      <alignment vertical="center"/>
    </xf>
    <xf numFmtId="26" fontId="1" fillId="0" borderId="6" xfId="0" applyFont="1" applyBorder="1" applyAlignment="1">
      <alignment vertical="center"/>
    </xf>
    <xf numFmtId="10" fontId="2" fillId="0" borderId="7" xfId="3" applyNumberFormat="1" applyFont="1" applyBorder="1">
      <alignment vertical="center"/>
    </xf>
    <xf numFmtId="10" fontId="2" fillId="0" borderId="8" xfId="3" applyNumberFormat="1" applyFont="1" applyBorder="1">
      <alignment vertical="center"/>
    </xf>
    <xf numFmtId="26" fontId="1" fillId="4" borderId="1" xfId="0" applyFont="1" applyFill="1" applyBorder="1" applyAlignment="1">
      <alignment vertical="center" wrapText="1"/>
    </xf>
    <xf numFmtId="26" fontId="2" fillId="0" borderId="9" xfId="0" applyFont="1" applyFill="1" applyBorder="1" applyAlignment="1">
      <alignment vertical="center"/>
    </xf>
    <xf numFmtId="26" fontId="2" fillId="0" borderId="5" xfId="0" applyFont="1" applyFill="1" applyBorder="1" applyAlignment="1">
      <alignment vertical="center"/>
    </xf>
    <xf numFmtId="26" fontId="1" fillId="0" borderId="4" xfId="0" applyFont="1" applyFill="1" applyBorder="1" applyAlignment="1">
      <alignment vertical="center"/>
    </xf>
    <xf numFmtId="26" fontId="2" fillId="0" borderId="0" xfId="0" applyFont="1" applyFill="1" applyAlignment="1">
      <alignment vertical="center"/>
    </xf>
    <xf numFmtId="26" fontId="2" fillId="5" borderId="0" xfId="0" applyFont="1" applyFill="1" applyAlignment="1">
      <alignment vertical="center"/>
    </xf>
    <xf numFmtId="26" fontId="1" fillId="0" borderId="6" xfId="0" applyFont="1" applyFill="1" applyBorder="1" applyAlignment="1">
      <alignment vertical="center"/>
    </xf>
    <xf numFmtId="10" fontId="2" fillId="0" borderId="7" xfId="3" applyNumberFormat="1" applyFont="1" applyFill="1" applyBorder="1" applyAlignment="1" applyProtection="1">
      <alignment vertical="center"/>
    </xf>
    <xf numFmtId="10" fontId="2" fillId="0" borderId="8" xfId="3" applyNumberFormat="1" applyFont="1" applyFill="1" applyBorder="1" applyAlignment="1" applyProtection="1">
      <alignment vertical="center"/>
    </xf>
    <xf numFmtId="26" fontId="1" fillId="4" borderId="1" xfId="0" applyFont="1" applyFill="1" applyBorder="1" applyAlignment="1">
      <alignment vertical="center"/>
    </xf>
    <xf numFmtId="26" fontId="3" fillId="0" borderId="9" xfId="0" applyFont="1" applyFill="1" applyBorder="1" applyAlignment="1">
      <alignment vertical="center"/>
    </xf>
    <xf numFmtId="26" fontId="2" fillId="0" borderId="7" xfId="0" applyFont="1" applyFill="1" applyBorder="1" applyAlignment="1">
      <alignment vertical="center"/>
    </xf>
    <xf numFmtId="26" fontId="2" fillId="0" borderId="8" xfId="0" applyFont="1" applyFill="1" applyBorder="1" applyAlignment="1">
      <alignment vertical="center"/>
    </xf>
    <xf numFmtId="26" fontId="0" fillId="0" borderId="10" xfId="0" applyBorder="1" applyAlignment="1">
      <alignment vertical="center"/>
    </xf>
    <xf numFmtId="26" fontId="0" fillId="0" borderId="10" xfId="0" applyFont="1" applyBorder="1" applyAlignment="1">
      <alignment vertical="center"/>
    </xf>
    <xf numFmtId="26" fontId="2" fillId="0" borderId="10" xfId="0" applyFont="1" applyBorder="1" applyAlignment="1">
      <alignment vertical="center"/>
    </xf>
    <xf numFmtId="180" fontId="2" fillId="0" borderId="10" xfId="0" applyNumberFormat="1" applyFont="1" applyBorder="1" applyAlignment="1">
      <alignment vertical="center"/>
    </xf>
    <xf numFmtId="10" fontId="2" fillId="0" borderId="10" xfId="0" applyNumberFormat="1" applyFont="1" applyBorder="1" applyAlignment="1">
      <alignment vertical="center"/>
    </xf>
    <xf numFmtId="181" fontId="2" fillId="0" borderId="10" xfId="0" applyNumberFormat="1" applyFont="1" applyBorder="1" applyAlignment="1">
      <alignment vertical="center"/>
    </xf>
    <xf numFmtId="26" fontId="0" fillId="0" borderId="0" xfId="0" applyBorder="1" applyAlignment="1">
      <alignment vertical="center"/>
    </xf>
    <xf numFmtId="26" fontId="4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9992;&#25143;&#33719;&#21462;&#24773;&#20917;_&#24102;&#26469;&#29992;&#25143;&#39318;&#27425;&#20114;&#21160;&#30340;&#20027;&#28192;&#36947;&#32452;&#65288;&#40664;&#35748;&#28192;&#36947;&#32452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用户获取情况_带来用户首次互动的主渠道组（默认渠道组）"/>
    </sheetNames>
    <sheetDataSet>
      <sheetData sheetId="0">
        <row r="11">
          <cell r="A11" t="str">
            <v>Direct</v>
          </cell>
          <cell r="B11">
            <v>3564</v>
          </cell>
        </row>
        <row r="12">
          <cell r="A12" t="str">
            <v>Organic Search</v>
          </cell>
          <cell r="B12">
            <v>1319</v>
          </cell>
        </row>
        <row r="13">
          <cell r="A13" t="str">
            <v>Referral</v>
          </cell>
          <cell r="B13">
            <v>26</v>
          </cell>
        </row>
        <row r="14">
          <cell r="A14" t="str">
            <v>AI Assistant</v>
          </cell>
          <cell r="B14">
            <v>13</v>
          </cell>
        </row>
        <row r="15">
          <cell r="A15" t="str">
            <v>Organic Video</v>
          </cell>
          <cell r="B15">
            <v>4</v>
          </cell>
        </row>
        <row r="16">
          <cell r="A16" t="str">
            <v>Unassigned</v>
          </cell>
          <cell r="B16">
            <v>3</v>
          </cell>
        </row>
        <row r="17">
          <cell r="A17" t="str">
            <v>Organic Social</v>
          </cell>
          <cell r="B17">
            <v>0</v>
          </cell>
        </row>
        <row r="23">
          <cell r="A23" t="str">
            <v>Direct</v>
          </cell>
          <cell r="B23">
            <v>3750</v>
          </cell>
        </row>
        <row r="24">
          <cell r="A24" t="str">
            <v>Organic Search</v>
          </cell>
          <cell r="B24">
            <v>1304</v>
          </cell>
        </row>
        <row r="25">
          <cell r="A25" t="str">
            <v>Referral</v>
          </cell>
          <cell r="B25">
            <v>31</v>
          </cell>
        </row>
        <row r="26">
          <cell r="A26" t="str">
            <v>AI Assistant</v>
          </cell>
          <cell r="B26">
            <v>14</v>
          </cell>
        </row>
        <row r="27">
          <cell r="A27" t="str">
            <v>Organic Video</v>
          </cell>
          <cell r="B27">
            <v>6</v>
          </cell>
        </row>
        <row r="28">
          <cell r="A28" t="str">
            <v>Unassigned</v>
          </cell>
          <cell r="B28">
            <v>5</v>
          </cell>
        </row>
        <row r="29">
          <cell r="A29" t="str">
            <v>Organic Social</v>
          </cell>
          <cell r="B29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6"/>
  <sheetViews>
    <sheetView tabSelected="1" workbookViewId="0">
      <selection activeCell="A41" sqref="A41:E46"/>
    </sheetView>
  </sheetViews>
  <sheetFormatPr defaultColWidth="9" defaultRowHeight="13.5"/>
  <sheetData>
    <row r="1" ht="27" spans="1: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>
      <c r="A2" s="4" t="s">
        <v>18</v>
      </c>
      <c r="B2" s="5">
        <v>357</v>
      </c>
      <c r="C2" s="5">
        <f>77+8</f>
        <v>85</v>
      </c>
      <c r="D2" s="5">
        <f>112+1</f>
        <v>113</v>
      </c>
      <c r="E2" s="5">
        <v>120</v>
      </c>
      <c r="F2" s="5">
        <v>296</v>
      </c>
      <c r="G2" s="5">
        <f>5+44</f>
        <v>49</v>
      </c>
      <c r="H2" s="5">
        <v>36</v>
      </c>
      <c r="I2" s="5">
        <f>1+3</f>
        <v>4</v>
      </c>
      <c r="J2" s="5">
        <v>7</v>
      </c>
      <c r="K2" s="5">
        <f>1+4</f>
        <v>5</v>
      </c>
      <c r="L2" s="5">
        <v>27</v>
      </c>
      <c r="M2" s="5">
        <f>3+19</f>
        <v>22</v>
      </c>
      <c r="N2" s="5">
        <v>98</v>
      </c>
      <c r="O2" s="5">
        <v>6</v>
      </c>
      <c r="P2" s="5">
        <v>7</v>
      </c>
      <c r="Q2" s="5">
        <v>0</v>
      </c>
      <c r="R2" s="6">
        <f>SUM(B2:Q2)</f>
        <v>1232</v>
      </c>
    </row>
    <row r="3" spans="1:18">
      <c r="A3" s="4" t="s">
        <v>19</v>
      </c>
      <c r="B3" s="5">
        <v>498</v>
      </c>
      <c r="C3" s="5">
        <f>75+11</f>
        <v>86</v>
      </c>
      <c r="D3" s="5">
        <f>106+2</f>
        <v>108</v>
      </c>
      <c r="E3" s="5">
        <v>102</v>
      </c>
      <c r="F3" s="5">
        <v>211</v>
      </c>
      <c r="G3" s="5">
        <f>8+42</f>
        <v>50</v>
      </c>
      <c r="H3" s="5">
        <v>47</v>
      </c>
      <c r="I3" s="5">
        <f>3+4</f>
        <v>7</v>
      </c>
      <c r="J3" s="5">
        <v>17</v>
      </c>
      <c r="K3" s="5">
        <v>3</v>
      </c>
      <c r="L3" s="5">
        <v>23</v>
      </c>
      <c r="M3" s="5">
        <v>22</v>
      </c>
      <c r="N3" s="5">
        <v>98</v>
      </c>
      <c r="O3" s="5">
        <v>8</v>
      </c>
      <c r="P3" s="5">
        <v>15</v>
      </c>
      <c r="Q3" s="5">
        <v>2</v>
      </c>
      <c r="R3" s="6">
        <f>SUM(B3:Q3)</f>
        <v>1297</v>
      </c>
    </row>
    <row r="4" spans="1:18">
      <c r="A4" s="7" t="s">
        <v>20</v>
      </c>
      <c r="B4" s="5">
        <f t="shared" ref="B4:R4" si="0">B2-B3</f>
        <v>-141</v>
      </c>
      <c r="C4" s="5">
        <f t="shared" si="0"/>
        <v>-1</v>
      </c>
      <c r="D4" s="5">
        <f t="shared" si="0"/>
        <v>5</v>
      </c>
      <c r="E4" s="5">
        <f t="shared" si="0"/>
        <v>18</v>
      </c>
      <c r="F4" s="5">
        <f t="shared" si="0"/>
        <v>85</v>
      </c>
      <c r="G4" s="5">
        <f t="shared" si="0"/>
        <v>-1</v>
      </c>
      <c r="H4" s="5">
        <f t="shared" si="0"/>
        <v>-11</v>
      </c>
      <c r="I4" s="5">
        <f t="shared" si="0"/>
        <v>-3</v>
      </c>
      <c r="J4" s="5">
        <f t="shared" si="0"/>
        <v>-10</v>
      </c>
      <c r="K4" s="5">
        <f t="shared" si="0"/>
        <v>2</v>
      </c>
      <c r="L4" s="5">
        <f t="shared" si="0"/>
        <v>4</v>
      </c>
      <c r="M4" s="5">
        <f t="shared" si="0"/>
        <v>0</v>
      </c>
      <c r="N4" s="5">
        <f t="shared" si="0"/>
        <v>0</v>
      </c>
      <c r="O4" s="5">
        <f t="shared" si="0"/>
        <v>-2</v>
      </c>
      <c r="P4" s="5">
        <f t="shared" si="0"/>
        <v>-8</v>
      </c>
      <c r="Q4" s="5">
        <f t="shared" si="0"/>
        <v>-2</v>
      </c>
      <c r="R4" s="6">
        <f t="shared" si="0"/>
        <v>-65</v>
      </c>
    </row>
    <row r="5" spans="1:18">
      <c r="A5" s="8" t="s">
        <v>21</v>
      </c>
      <c r="B5" s="9">
        <f t="shared" ref="B5:R5" si="1">(B2-B3)/B3</f>
        <v>-0.283132530120482</v>
      </c>
      <c r="C5" s="9">
        <f t="shared" si="1"/>
        <v>-0.0116279069767442</v>
      </c>
      <c r="D5" s="9">
        <f t="shared" si="1"/>
        <v>0.0462962962962963</v>
      </c>
      <c r="E5" s="9">
        <f t="shared" si="1"/>
        <v>0.176470588235294</v>
      </c>
      <c r="F5" s="9">
        <f t="shared" si="1"/>
        <v>0.402843601895735</v>
      </c>
      <c r="G5" s="9">
        <f t="shared" si="1"/>
        <v>-0.02</v>
      </c>
      <c r="H5" s="9">
        <f t="shared" si="1"/>
        <v>-0.234042553191489</v>
      </c>
      <c r="I5" s="9">
        <f t="shared" si="1"/>
        <v>-0.428571428571429</v>
      </c>
      <c r="J5" s="9">
        <f t="shared" si="1"/>
        <v>-0.588235294117647</v>
      </c>
      <c r="K5" s="9">
        <f t="shared" si="1"/>
        <v>0.666666666666667</v>
      </c>
      <c r="L5" s="9">
        <f t="shared" si="1"/>
        <v>0.173913043478261</v>
      </c>
      <c r="M5" s="9">
        <f t="shared" si="1"/>
        <v>0</v>
      </c>
      <c r="N5" s="9">
        <f t="shared" si="1"/>
        <v>0</v>
      </c>
      <c r="O5" s="9">
        <f t="shared" si="1"/>
        <v>-0.25</v>
      </c>
      <c r="P5" s="9">
        <f t="shared" si="1"/>
        <v>-0.533333333333333</v>
      </c>
      <c r="Q5" s="9">
        <f t="shared" si="1"/>
        <v>-1</v>
      </c>
      <c r="R5" s="10">
        <f t="shared" si="1"/>
        <v>-0.0501156515034695</v>
      </c>
    </row>
    <row r="6" spans="1:18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ht="40.5" spans="1:18">
      <c r="A7" s="11" t="s">
        <v>22</v>
      </c>
      <c r="B7" s="2" t="s">
        <v>1</v>
      </c>
      <c r="C7" s="2" t="s">
        <v>2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  <c r="I7" s="2" t="s">
        <v>10</v>
      </c>
      <c r="J7" s="2" t="s">
        <v>11</v>
      </c>
      <c r="K7" s="2" t="s">
        <v>12</v>
      </c>
      <c r="L7" s="2" t="s">
        <v>13</v>
      </c>
      <c r="M7" s="2" t="s">
        <v>14</v>
      </c>
      <c r="N7" s="2" t="s">
        <v>15</v>
      </c>
      <c r="O7" s="2" t="s">
        <v>16</v>
      </c>
      <c r="P7" s="3" t="s">
        <v>17</v>
      </c>
    </row>
    <row r="8" spans="1:18">
      <c r="A8" s="4" t="s">
        <v>18</v>
      </c>
      <c r="B8" s="12">
        <f>32+57</f>
        <v>89</v>
      </c>
      <c r="C8" s="12">
        <f>12+31</f>
        <v>43</v>
      </c>
      <c r="D8" s="12">
        <v>56</v>
      </c>
      <c r="E8" s="12">
        <f>23</f>
        <v>23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3">
        <f>SUM(B8:O8)</f>
        <v>211</v>
      </c>
    </row>
    <row r="9" spans="1:18">
      <c r="A9" s="4" t="s">
        <v>19</v>
      </c>
      <c r="B9" s="12">
        <f>17+72</f>
        <v>89</v>
      </c>
      <c r="C9" s="12">
        <f>4+42</f>
        <v>46</v>
      </c>
      <c r="D9" s="12">
        <v>45</v>
      </c>
      <c r="E9" s="12">
        <f>27</f>
        <v>27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3">
        <f>SUM(B9:O9)</f>
        <v>207</v>
      </c>
    </row>
    <row r="10" spans="1:18">
      <c r="A10" s="14" t="s">
        <v>20</v>
      </c>
      <c r="B10" s="15">
        <f t="shared" ref="B10:P10" si="2">B8-B9</f>
        <v>0</v>
      </c>
      <c r="C10" s="15">
        <f t="shared" si="2"/>
        <v>-3</v>
      </c>
      <c r="D10" s="16">
        <f t="shared" si="2"/>
        <v>11</v>
      </c>
      <c r="E10" s="15">
        <f t="shared" si="2"/>
        <v>-4</v>
      </c>
      <c r="F10" s="15">
        <f t="shared" si="2"/>
        <v>0</v>
      </c>
      <c r="G10" s="15">
        <f t="shared" si="2"/>
        <v>0</v>
      </c>
      <c r="H10" s="15">
        <f t="shared" si="2"/>
        <v>0</v>
      </c>
      <c r="I10" s="15">
        <f t="shared" si="2"/>
        <v>0</v>
      </c>
      <c r="J10" s="15">
        <f t="shared" si="2"/>
        <v>0</v>
      </c>
      <c r="K10" s="15">
        <f t="shared" si="2"/>
        <v>0</v>
      </c>
      <c r="L10" s="15">
        <f t="shared" si="2"/>
        <v>0</v>
      </c>
      <c r="M10" s="15">
        <f t="shared" si="2"/>
        <v>0</v>
      </c>
      <c r="N10" s="15">
        <f t="shared" si="2"/>
        <v>0</v>
      </c>
      <c r="O10" s="15">
        <f t="shared" si="2"/>
        <v>0</v>
      </c>
      <c r="P10" s="13">
        <f t="shared" si="2"/>
        <v>4</v>
      </c>
    </row>
    <row r="11" spans="1:18">
      <c r="A11" s="17" t="s">
        <v>21</v>
      </c>
      <c r="B11" s="18">
        <f t="shared" ref="B11:P11" si="3">(B8-B9)/B9</f>
        <v>0</v>
      </c>
      <c r="C11" s="18">
        <f t="shared" si="3"/>
        <v>-0.0652173913043478</v>
      </c>
      <c r="D11" s="18">
        <f t="shared" si="3"/>
        <v>0.244444444444444</v>
      </c>
      <c r="E11" s="18">
        <f t="shared" si="3"/>
        <v>-0.148148148148148</v>
      </c>
      <c r="F11" s="18" t="e">
        <f t="shared" si="3"/>
        <v>#DIV/0!</v>
      </c>
      <c r="G11" s="18" t="e">
        <f t="shared" si="3"/>
        <v>#DIV/0!</v>
      </c>
      <c r="H11" s="18" t="e">
        <f t="shared" si="3"/>
        <v>#DIV/0!</v>
      </c>
      <c r="I11" s="18" t="e">
        <f t="shared" si="3"/>
        <v>#DIV/0!</v>
      </c>
      <c r="J11" s="18" t="e">
        <f t="shared" si="3"/>
        <v>#DIV/0!</v>
      </c>
      <c r="K11" s="18" t="e">
        <f t="shared" si="3"/>
        <v>#DIV/0!</v>
      </c>
      <c r="L11" s="18" t="e">
        <f t="shared" si="3"/>
        <v>#DIV/0!</v>
      </c>
      <c r="M11" s="18" t="e">
        <f t="shared" si="3"/>
        <v>#DIV/0!</v>
      </c>
      <c r="N11" s="18" t="e">
        <f t="shared" si="3"/>
        <v>#DIV/0!</v>
      </c>
      <c r="O11" s="18" t="e">
        <f t="shared" si="3"/>
        <v>#DIV/0!</v>
      </c>
      <c r="P11" s="19">
        <f t="shared" si="3"/>
        <v>0.0193236714975845</v>
      </c>
    </row>
    <row r="12" spans="1:18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ht="27" spans="1:18">
      <c r="A13" s="20" t="s">
        <v>23</v>
      </c>
      <c r="B13" s="2" t="s">
        <v>1</v>
      </c>
      <c r="C13" s="2" t="s">
        <v>2</v>
      </c>
      <c r="D13" s="2" t="s">
        <v>5</v>
      </c>
      <c r="E13" s="2" t="s">
        <v>6</v>
      </c>
      <c r="F13" s="2" t="s">
        <v>7</v>
      </c>
      <c r="G13" s="2" t="s">
        <v>8</v>
      </c>
      <c r="H13" s="2" t="s">
        <v>9</v>
      </c>
      <c r="I13" s="2" t="s">
        <v>10</v>
      </c>
      <c r="J13" s="2" t="s">
        <v>11</v>
      </c>
      <c r="K13" s="2" t="s">
        <v>12</v>
      </c>
      <c r="L13" s="2" t="s">
        <v>13</v>
      </c>
      <c r="M13" s="2" t="s">
        <v>14</v>
      </c>
      <c r="N13" s="2" t="s">
        <v>15</v>
      </c>
      <c r="O13" s="2" t="s">
        <v>16</v>
      </c>
      <c r="P13" s="3" t="s">
        <v>17</v>
      </c>
    </row>
    <row r="14" spans="1:18">
      <c r="A14" s="4" t="s">
        <v>18</v>
      </c>
      <c r="B14" s="12">
        <f>67+41</f>
        <v>108</v>
      </c>
      <c r="C14" s="12">
        <f>17+25</f>
        <v>42</v>
      </c>
      <c r="D14" s="12">
        <v>53</v>
      </c>
      <c r="E14" s="12">
        <f>18</f>
        <v>18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3">
        <f>SUM(B14:O14)</f>
        <v>221</v>
      </c>
    </row>
    <row r="15" spans="1:18">
      <c r="A15" s="4" t="s">
        <v>19</v>
      </c>
      <c r="B15" s="12">
        <f>84+20</f>
        <v>104</v>
      </c>
      <c r="C15" s="12">
        <f>6+45</f>
        <v>51</v>
      </c>
      <c r="D15" s="12">
        <v>24</v>
      </c>
      <c r="E15" s="12">
        <f>15</f>
        <v>15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3">
        <f>SUM(B15:O15)</f>
        <v>194</v>
      </c>
    </row>
    <row r="16" spans="1:18">
      <c r="A16" s="14" t="s">
        <v>20</v>
      </c>
      <c r="B16" s="15">
        <f t="shared" ref="B16:P16" si="4">B14-B15</f>
        <v>4</v>
      </c>
      <c r="C16" s="16">
        <f t="shared" si="4"/>
        <v>-9</v>
      </c>
      <c r="D16" s="15">
        <f t="shared" si="4"/>
        <v>29</v>
      </c>
      <c r="E16" s="15">
        <f t="shared" si="4"/>
        <v>3</v>
      </c>
      <c r="F16" s="15">
        <f t="shared" si="4"/>
        <v>0</v>
      </c>
      <c r="G16" s="15">
        <f t="shared" si="4"/>
        <v>0</v>
      </c>
      <c r="H16" s="15">
        <f t="shared" si="4"/>
        <v>0</v>
      </c>
      <c r="I16" s="15">
        <f t="shared" si="4"/>
        <v>0</v>
      </c>
      <c r="J16" s="15">
        <f t="shared" si="4"/>
        <v>0</v>
      </c>
      <c r="K16" s="15">
        <f t="shared" si="4"/>
        <v>0</v>
      </c>
      <c r="L16" s="15">
        <f t="shared" si="4"/>
        <v>0</v>
      </c>
      <c r="M16" s="15">
        <f t="shared" si="4"/>
        <v>0</v>
      </c>
      <c r="N16" s="15">
        <f t="shared" si="4"/>
        <v>0</v>
      </c>
      <c r="O16" s="15">
        <f t="shared" si="4"/>
        <v>0</v>
      </c>
      <c r="P16" s="13">
        <f t="shared" si="4"/>
        <v>27</v>
      </c>
    </row>
    <row r="17" spans="1:16">
      <c r="A17" s="17" t="s">
        <v>21</v>
      </c>
      <c r="B17" s="18">
        <f t="shared" ref="B17:P17" si="5">(B14-B15)/B15</f>
        <v>0.0384615384615385</v>
      </c>
      <c r="C17" s="18">
        <f t="shared" si="5"/>
        <v>-0.176470588235294</v>
      </c>
      <c r="D17" s="18">
        <f t="shared" si="5"/>
        <v>1.20833333333333</v>
      </c>
      <c r="E17" s="18">
        <f t="shared" si="5"/>
        <v>0.2</v>
      </c>
      <c r="F17" s="18" t="e">
        <f t="shared" si="5"/>
        <v>#DIV/0!</v>
      </c>
      <c r="G17" s="18" t="e">
        <f t="shared" si="5"/>
        <v>#DIV/0!</v>
      </c>
      <c r="H17" s="18" t="e">
        <f t="shared" si="5"/>
        <v>#DIV/0!</v>
      </c>
      <c r="I17" s="18" t="e">
        <f t="shared" si="5"/>
        <v>#DIV/0!</v>
      </c>
      <c r="J17" s="18" t="e">
        <f t="shared" si="5"/>
        <v>#DIV/0!</v>
      </c>
      <c r="K17" s="18" t="e">
        <f t="shared" si="5"/>
        <v>#DIV/0!</v>
      </c>
      <c r="L17" s="18" t="e">
        <f t="shared" si="5"/>
        <v>#DIV/0!</v>
      </c>
      <c r="M17" s="18" t="e">
        <f t="shared" si="5"/>
        <v>#DIV/0!</v>
      </c>
      <c r="N17" s="18" t="e">
        <f t="shared" si="5"/>
        <v>#DIV/0!</v>
      </c>
      <c r="O17" s="18" t="e">
        <f t="shared" si="5"/>
        <v>#DIV/0!</v>
      </c>
      <c r="P17" s="19">
        <f t="shared" si="5"/>
        <v>0.139175257731959</v>
      </c>
    </row>
    <row r="18" spans="1:16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ht="27" spans="1:16">
      <c r="A19" s="20" t="s">
        <v>24</v>
      </c>
      <c r="B19" s="2" t="s">
        <v>1</v>
      </c>
      <c r="C19" s="2" t="s">
        <v>2</v>
      </c>
      <c r="D19" s="2" t="s">
        <v>5</v>
      </c>
      <c r="E19" s="2" t="s">
        <v>6</v>
      </c>
      <c r="F19" s="2" t="s">
        <v>7</v>
      </c>
      <c r="G19" s="2" t="s">
        <v>8</v>
      </c>
      <c r="H19" s="2" t="s">
        <v>9</v>
      </c>
      <c r="I19" s="2" t="s">
        <v>10</v>
      </c>
      <c r="J19" s="2" t="s">
        <v>11</v>
      </c>
      <c r="K19" s="2" t="s">
        <v>12</v>
      </c>
      <c r="L19" s="2" t="s">
        <v>13</v>
      </c>
      <c r="M19" s="2" t="s">
        <v>14</v>
      </c>
      <c r="N19" s="2" t="s">
        <v>15</v>
      </c>
      <c r="O19" s="2" t="s">
        <v>16</v>
      </c>
      <c r="P19" s="3" t="s">
        <v>17</v>
      </c>
    </row>
    <row r="20" spans="1:16">
      <c r="A20" s="4" t="s">
        <v>18</v>
      </c>
      <c r="B20" s="15"/>
      <c r="C20" s="15"/>
      <c r="D20" s="21">
        <v>0</v>
      </c>
      <c r="E20" s="21">
        <v>0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3">
        <f>SUM(B20:O20)</f>
        <v>0</v>
      </c>
    </row>
    <row r="21" spans="1:16">
      <c r="A21" s="4" t="s">
        <v>19</v>
      </c>
      <c r="B21" s="15"/>
      <c r="C21" s="15"/>
      <c r="D21" s="21">
        <v>25</v>
      </c>
      <c r="E21" s="21">
        <v>16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3">
        <f>SUM(B21:O21)</f>
        <v>41</v>
      </c>
    </row>
    <row r="22" spans="1:16">
      <c r="A22" s="14" t="s">
        <v>20</v>
      </c>
      <c r="B22" s="15"/>
      <c r="C22" s="15"/>
      <c r="D22" s="15">
        <f>D20-D21</f>
        <v>-25</v>
      </c>
      <c r="E22" s="15">
        <f>E20-E21</f>
        <v>-16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3">
        <f>P20-P21</f>
        <v>-41</v>
      </c>
    </row>
    <row r="23" spans="1:16">
      <c r="A23" s="17" t="s">
        <v>21</v>
      </c>
      <c r="B23" s="18"/>
      <c r="C23" s="18"/>
      <c r="D23" s="18">
        <f>(D20-D21)/D21</f>
        <v>-1</v>
      </c>
      <c r="E23" s="18">
        <f>(E20-E21)/E21</f>
        <v>-1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9">
        <f>(P20-P21)/P21</f>
        <v>-1</v>
      </c>
    </row>
    <row r="24" spans="1:16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ht="27" spans="1:16">
      <c r="A25" s="1" t="s">
        <v>25</v>
      </c>
      <c r="B25" s="2" t="s">
        <v>1</v>
      </c>
      <c r="C25" s="2" t="s">
        <v>2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2" t="s">
        <v>12</v>
      </c>
      <c r="L25" s="2" t="s">
        <v>13</v>
      </c>
      <c r="M25" s="2" t="s">
        <v>14</v>
      </c>
      <c r="N25" s="2" t="s">
        <v>15</v>
      </c>
      <c r="O25" s="2" t="s">
        <v>16</v>
      </c>
      <c r="P25" s="3" t="s">
        <v>17</v>
      </c>
    </row>
    <row r="26" spans="1:16">
      <c r="A26" s="4" t="s">
        <v>18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3"/>
    </row>
    <row r="27" spans="1:16">
      <c r="A27" s="4" t="s">
        <v>19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3"/>
    </row>
    <row r="28" spans="1:16">
      <c r="A28" s="14" t="s">
        <v>20</v>
      </c>
      <c r="B28" s="15"/>
      <c r="C28" s="15">
        <f>C26-C27</f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3"/>
    </row>
    <row r="29" spans="1:16">
      <c r="A29" s="17" t="s">
        <v>21</v>
      </c>
      <c r="B29" s="22"/>
      <c r="C29" s="18" t="e">
        <f>(C26-C27)/C27</f>
        <v>#DIV/0!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3"/>
    </row>
    <row r="31" spans="1:16">
      <c r="A31" s="24"/>
      <c r="B31" s="24" t="s">
        <v>26</v>
      </c>
      <c r="C31" s="25" t="s">
        <v>27</v>
      </c>
      <c r="D31" s="24" t="s">
        <v>20</v>
      </c>
      <c r="E31" s="25" t="s">
        <v>28</v>
      </c>
      <c r="F31" s="24" t="s">
        <v>29</v>
      </c>
      <c r="G31" s="24" t="s">
        <v>30</v>
      </c>
      <c r="H31" s="24"/>
      <c r="I31" s="24" t="s">
        <v>21</v>
      </c>
      <c r="J31" s="25" t="s">
        <v>28</v>
      </c>
      <c r="K31" s="25" t="s">
        <v>31</v>
      </c>
    </row>
    <row r="32" spans="1:16">
      <c r="A32" s="24" t="s">
        <v>32</v>
      </c>
      <c r="B32" s="24"/>
      <c r="C32" s="24"/>
      <c r="D32" s="26">
        <f t="shared" ref="D32:D39" si="6">B32-C32</f>
        <v>0</v>
      </c>
      <c r="E32" s="27">
        <f>B32/7</f>
        <v>0</v>
      </c>
      <c r="F32" s="27">
        <f>E32-(C32/7)</f>
        <v>0</v>
      </c>
      <c r="G32" s="26">
        <f>B34+B35</f>
        <v>1345</v>
      </c>
      <c r="H32" s="26">
        <f>C34+C35</f>
        <v>1335</v>
      </c>
      <c r="I32" s="28">
        <f>(G32-H32)/H32</f>
        <v>0.00749063670411985</v>
      </c>
      <c r="J32" s="29">
        <f>B32/30</f>
        <v>0</v>
      </c>
      <c r="K32" s="29">
        <f>C32/30</f>
        <v>0</v>
      </c>
    </row>
    <row r="33" spans="1:11">
      <c r="A33" s="24" t="s">
        <v>33</v>
      </c>
      <c r="B33" s="24">
        <f>VLOOKUP(A33,'[1]用户获取情况_带来用户首次互动的主渠道组（默认渠道组）'!$A$11:$B$17,2,0)</f>
        <v>3564</v>
      </c>
      <c r="C33" s="24">
        <f>VLOOKUP(A33,'[1]用户获取情况_带来用户首次互动的主渠道组（默认渠道组）'!$A$23:$B$29,2,0)</f>
        <v>3750</v>
      </c>
      <c r="D33" s="26">
        <f t="shared" si="6"/>
        <v>-186</v>
      </c>
      <c r="E33" s="26"/>
      <c r="F33" s="26"/>
      <c r="G33" s="26"/>
      <c r="H33" s="26"/>
      <c r="I33" s="28">
        <f t="shared" ref="I33:I38" si="7">(B33-C33)/C33</f>
        <v>-0.0496</v>
      </c>
      <c r="J33" s="26"/>
      <c r="K33" s="26"/>
    </row>
    <row r="34" spans="1:11">
      <c r="A34" s="24" t="s">
        <v>34</v>
      </c>
      <c r="B34" s="24">
        <f>VLOOKUP(A34,'[1]用户获取情况_带来用户首次互动的主渠道组（默认渠道组）'!$A$11:$B$17,2,0)</f>
        <v>1319</v>
      </c>
      <c r="C34" s="24">
        <f>VLOOKUP(A34,'[1]用户获取情况_带来用户首次互动的主渠道组（默认渠道组）'!$A$23:$B$29,2,0)</f>
        <v>1304</v>
      </c>
      <c r="D34" s="26">
        <f t="shared" si="6"/>
        <v>15</v>
      </c>
      <c r="E34" s="26"/>
      <c r="F34" s="26"/>
      <c r="G34" s="26"/>
      <c r="H34" s="26"/>
      <c r="I34" s="28">
        <f t="shared" si="7"/>
        <v>0.0115030674846626</v>
      </c>
      <c r="J34" s="26"/>
      <c r="K34" s="26"/>
    </row>
    <row r="35" spans="1:11">
      <c r="A35" s="24" t="s">
        <v>35</v>
      </c>
      <c r="B35" s="24">
        <f>VLOOKUP(A35,'[1]用户获取情况_带来用户首次互动的主渠道组（默认渠道组）'!$A$11:$B$17,2,0)</f>
        <v>26</v>
      </c>
      <c r="C35" s="24">
        <f>VLOOKUP(A35,'[1]用户获取情况_带来用户首次互动的主渠道组（默认渠道组）'!$A$23:$B$29,2,0)</f>
        <v>31</v>
      </c>
      <c r="D35" s="26">
        <f t="shared" si="6"/>
        <v>-5</v>
      </c>
      <c r="E35" s="26"/>
      <c r="F35" s="26"/>
      <c r="G35" s="26"/>
      <c r="H35" s="26"/>
      <c r="I35" s="28">
        <f t="shared" si="7"/>
        <v>-0.161290322580645</v>
      </c>
      <c r="J35" s="26"/>
      <c r="K35" s="26"/>
    </row>
    <row r="36" spans="1:11">
      <c r="A36" s="24" t="s">
        <v>36</v>
      </c>
      <c r="B36" s="24">
        <f>VLOOKUP(A36,'[1]用户获取情况_带来用户首次互动的主渠道组（默认渠道组）'!$A$11:$B$17,2,0)</f>
        <v>4</v>
      </c>
      <c r="C36" s="24">
        <f>VLOOKUP(A36,'[1]用户获取情况_带来用户首次互动的主渠道组（默认渠道组）'!$A$23:$B$29,2,0)</f>
        <v>6</v>
      </c>
      <c r="D36" s="26">
        <f t="shared" si="6"/>
        <v>-2</v>
      </c>
      <c r="E36" s="26"/>
      <c r="F36" s="26"/>
      <c r="G36" s="26"/>
      <c r="H36" s="26"/>
      <c r="I36" s="28">
        <f t="shared" si="7"/>
        <v>-0.333333333333333</v>
      </c>
      <c r="J36" s="26"/>
      <c r="K36" s="26"/>
    </row>
    <row r="37" spans="1:11">
      <c r="A37" s="24" t="s">
        <v>37</v>
      </c>
      <c r="B37" s="24">
        <f>VLOOKUP(A37,'[1]用户获取情况_带来用户首次互动的主渠道组（默认渠道组）'!$A$11:$B$17,2,0)</f>
        <v>13</v>
      </c>
      <c r="C37" s="24">
        <f>VLOOKUP(A37,'[1]用户获取情况_带来用户首次互动的主渠道组（默认渠道组）'!$A$23:$B$29,2,0)</f>
        <v>14</v>
      </c>
      <c r="D37" s="26">
        <f t="shared" si="6"/>
        <v>-1</v>
      </c>
      <c r="E37" s="26"/>
      <c r="F37" s="26"/>
      <c r="G37" s="26"/>
      <c r="H37" s="26"/>
      <c r="I37" s="28">
        <f t="shared" si="7"/>
        <v>-0.0714285714285714</v>
      </c>
      <c r="J37" s="26"/>
      <c r="K37" s="26"/>
    </row>
    <row r="38" spans="1:11">
      <c r="A38" s="24" t="s">
        <v>38</v>
      </c>
      <c r="B38" s="24">
        <f>VLOOKUP(A38,'[1]用户获取情况_带来用户首次互动的主渠道组（默认渠道组）'!$A$11:$B$17,2,0)</f>
        <v>3</v>
      </c>
      <c r="C38" s="24">
        <f>VLOOKUP(A38,'[1]用户获取情况_带来用户首次互动的主渠道组（默认渠道组）'!$A$23:$B$29,2,0)</f>
        <v>5</v>
      </c>
      <c r="D38" s="26">
        <f t="shared" si="6"/>
        <v>-2</v>
      </c>
      <c r="E38" s="26"/>
      <c r="F38" s="26"/>
      <c r="G38" s="26"/>
      <c r="H38" s="26"/>
      <c r="I38" s="28">
        <f t="shared" si="7"/>
        <v>-0.4</v>
      </c>
      <c r="J38" s="26"/>
      <c r="K38" s="26"/>
    </row>
    <row r="39" spans="1:11">
      <c r="A39" s="24" t="s">
        <v>39</v>
      </c>
      <c r="B39" s="24">
        <f>VLOOKUP(A39,'[1]用户获取情况_带来用户首次互动的主渠道组（默认渠道组）'!$A$11:$B$17,2,0)</f>
        <v>0</v>
      </c>
      <c r="C39" s="24">
        <f>VLOOKUP(A39,'[1]用户获取情况_带来用户首次互动的主渠道组（默认渠道组）'!$A$23:$B$29,2,0)</f>
        <v>3</v>
      </c>
      <c r="D39" s="26">
        <f t="shared" si="6"/>
        <v>-3</v>
      </c>
      <c r="E39" s="26"/>
      <c r="F39" s="26"/>
      <c r="G39" s="26"/>
      <c r="H39" s="26"/>
      <c r="I39" s="28"/>
      <c r="J39" s="26"/>
      <c r="K39" s="26"/>
    </row>
    <row r="40" spans="1:1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ht="15" spans="1:11">
      <c r="A41" s="31" t="s">
        <v>40</v>
      </c>
      <c r="B41" s="31" t="s">
        <v>41</v>
      </c>
      <c r="C41" s="31" t="s">
        <v>42</v>
      </c>
      <c r="D41" s="31" t="s">
        <v>21</v>
      </c>
      <c r="E41" s="31" t="s">
        <v>43</v>
      </c>
      <c r="F41" s="30"/>
      <c r="G41" s="30"/>
      <c r="H41" s="30"/>
      <c r="I41" s="30"/>
      <c r="J41" s="30"/>
      <c r="K41" s="30"/>
    </row>
    <row r="42" ht="15" spans="1:11">
      <c r="A42" s="31" t="s">
        <v>30</v>
      </c>
      <c r="B42" s="31" t="s">
        <v>44</v>
      </c>
      <c r="C42" s="31" t="s">
        <v>45</v>
      </c>
      <c r="D42" s="31" t="s">
        <v>46</v>
      </c>
      <c r="E42" s="31" t="s">
        <v>47</v>
      </c>
    </row>
    <row r="43" ht="15" spans="1:11">
      <c r="A43" s="31" t="s">
        <v>48</v>
      </c>
      <c r="B43" s="31">
        <v>236</v>
      </c>
      <c r="C43" s="31">
        <v>223</v>
      </c>
      <c r="D43" s="31" t="s">
        <v>49</v>
      </c>
      <c r="E43" s="31" t="s">
        <v>50</v>
      </c>
    </row>
    <row r="44" ht="15" spans="1:11">
      <c r="A44" s="31" t="s">
        <v>51</v>
      </c>
      <c r="B44" s="31">
        <v>96</v>
      </c>
      <c r="C44" s="31">
        <v>119</v>
      </c>
      <c r="D44" s="31" t="s">
        <v>52</v>
      </c>
      <c r="E44" s="31" t="s">
        <v>47</v>
      </c>
    </row>
    <row r="45" ht="15" spans="1:11">
      <c r="A45" s="31" t="s">
        <v>53</v>
      </c>
      <c r="B45" s="31" t="s">
        <v>54</v>
      </c>
      <c r="C45" s="31" t="s">
        <v>55</v>
      </c>
      <c r="D45" s="31" t="s">
        <v>56</v>
      </c>
      <c r="E45" s="31" t="s">
        <v>50</v>
      </c>
    </row>
    <row r="46" ht="15" spans="1:11">
      <c r="A46" s="31" t="s">
        <v>57</v>
      </c>
      <c r="B46" s="31" t="s">
        <v>58</v>
      </c>
      <c r="C46" s="31" t="s">
        <v>59</v>
      </c>
      <c r="D46" s="31" t="s">
        <v>60</v>
      </c>
      <c r="E46" s="31" t="s">
        <v>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avclabs</dc:creator>
  <cp:lastModifiedBy>Paddi</cp:lastModifiedBy>
  <dcterms:created xsi:type="dcterms:W3CDTF">2023-05-12T11:15:00Z</dcterms:created>
  <dcterms:modified xsi:type="dcterms:W3CDTF">2026-10-26T06:39:06Z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SOProductBuildVer">
    <vt:lpwstr>2052-12.1.0.29161</vt:lpwstr>
  </op:property>
  <op:property fmtid="{D5CDD505-2E9C-101B-9397-08002B2CF9AE}" pid="3" name="ICV">
    <vt:lpwstr>F55F67EFE93941478E75FE5570CCB24A_12</vt:lpwstr>
  </op:property>
  <op:property fmtid="{D5CDD505-2E9C-101B-9397-08002B2CF9AE}" pid="4" name="CalculationRule">
    <vt:i4>0</vt:i4>
  </op:property>
  <op:property fmtid="{D5CDD505-2E9C-101B-9397-08002B2CF9AE}" pid="5" name="_IPGFID">
    <vt:lpwstr>[DocID]=497BE3E5-0CC4-4BBD-8AE2-98EFBC02725B</vt:lpwstr>
  </op:property>
  <op:property fmtid="{D5CDD505-2E9C-101B-9397-08002B2CF9AE}" pid="6" name="_IPGDLB_P-13880_E-1_CV-A030CD7C_CN-84CE3E3D">
    <vt:lpwstr>+4du7veTBoYGrrA60CId1A==</vt:lpwstr>
  </op:property>
  <op:property fmtid="{D5CDD505-2E9C-101B-9397-08002B2CF9AE}" pid="7" name="_IPGDLV_P-13880_E-1_CV-8A3E173D_CN-82DF838A">
    <vt:lpwstr>dO/Y0qVcSD0HPhZdwwTZJQ==</vt:lpwstr>
  </op:property>
</op:Properties>
</file>